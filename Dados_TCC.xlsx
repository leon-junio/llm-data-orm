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<sst xmlns="http://schemas.openxmlformats.org/spreadsheetml/2006/main" count="231" uniqueCount="130">
  <si>
    <t>SpotifyDB</t>
  </si>
  <si>
    <t>TXT</t>
  </si>
  <si>
    <t>Tempo de parsing da LLM</t>
  </si>
  <si>
    <t>Resultados Estatisticos</t>
  </si>
  <si>
    <t>Modelos/Documentos</t>
  </si>
  <si>
    <t>Tempo total - minutos</t>
  </si>
  <si>
    <t>AVG - P</t>
  </si>
  <si>
    <t>AVG - R</t>
  </si>
  <si>
    <t>AVG - F1 Score</t>
  </si>
  <si>
    <t>AVG - JS</t>
  </si>
  <si>
    <t>Total - MMF</t>
  </si>
  <si>
    <t>Total - DTE</t>
  </si>
  <si>
    <t>AVG - CR</t>
  </si>
  <si>
    <t>AVG - UR</t>
  </si>
  <si>
    <t>qwen-2.5-max</t>
  </si>
  <si>
    <t>{Precision: 0,9878
Recall: 0,9978
F1 Score: 0,9927
Jaccard Similarity: 0,9856
Missing Mandatory Fields: []
Data Type Errors: []
Conformity Rate: 1,0000
Unknown Rate: 0,0000
}</t>
  </si>
  <si>
    <t>{Precision: 0,9934
Recall: 0,9829
F1 Score: 0,9881
Jaccard Similarity: 0,9765
Missing Mandatory Fields: []
Data Type Errors: []
Conformity Rate: 1,0000
Unknown Rate: 0,0000
}</t>
  </si>
  <si>
    <t>{Precision: 0,9757
Recall: 0,9757
F1 Score: 0,9757
Jaccard Similarity: 0,9525
Missing Mandatory Fields: []
Data Type Errors: []
Conformity Rate: 1,0000
Unknown Rate: 0,0000
}</t>
  </si>
  <si>
    <t>{Precision: 0,9944
Recall: 0,9944
F1 Score: 0,9944
Jaccard Similarity: 0,9890
Missing Mandatory Fields: []
Data Type Errors: []
Conformity Rate: 1,0000
Unknown Rate: 0,0000
}</t>
  </si>
  <si>
    <t>{Precision: 0,9979
Recall: 0,9888
F1 Score: 0,9933
Jaccard Similarity: 0,9868
Missing Mandatory Fields: []
Data Type Errors: []
Conformity Rate: 1,0000
Unknown Rate: 0,0000
}</t>
  </si>
  <si>
    <t>{Precision: 1,0000
Recall: 1,0000
F1 Score: 1,0000
Jaccard Similarity: 1,0000
Missing Mandatory Fields: []
Data Type Errors: []
Conformity Rate: 1,0000
Unknown Rate: 0,0000
}</t>
  </si>
  <si>
    <t xml:space="preserve">
{Precision: 0,9962
Recall: 0,9962
F1 Score: 0,9962
Jaccard Similarity: 0,9923
Missing Mandatory Fields: []
Data Type Errors: []
Conformity Rate: 1,0000
Unknown Rate: 0,0000
}</t>
  </si>
  <si>
    <t>{Precision: 0,9767
Recall: 0,9644
F1 Score: 0,9645
Jaccard Similarity: 0,9533
Missing Mandatory Fields: []
Data Type Errors: []
Conformity Rate: 1,0000
Unknown Rate: 0,0000
}</t>
  </si>
  <si>
    <t>{Precision: 0,9879
Recall: 0,9778
F1 Score: 0,9866
Jaccard Similarity: 0,9666
Missing Mandatory Fields: []
Data Type Errors: []
Conformity Rate: 1,0000
Unknown Rate: 0,0000
}</t>
  </si>
  <si>
    <t>{Precision: 0,9966
Recall: 0,9966
F1 Score: 0,9933
Jaccard Similarity: 0,9888
Missing Mandatory Fields: []
Data Type Errors: []
Conformity Rate: 1,0000
Unknown Rate: 0,0000
}</t>
  </si>
  <si>
    <t>4.32</t>
  </si>
  <si>
    <t>dolphin-2.9</t>
  </si>
  <si>
    <t>{Precision: 0,9656
Recall: 0,9753
F1 Score: 0,9704
Jaccard Similarity: 0,9425
Missing Mandatory Fields: []
Data Type Errors: []
Conformity Rate: 1,0000
Unknown Rate: 0,0000
}</t>
  </si>
  <si>
    <t>{Precision: 0,9729
Recall: 0,9573
F1 Score: 0,9650
Jaccard Similarity: 0,9324
Missing Mandatory Fields: []
Data Type Errors: []
Conformity Rate: 0,9954
Unknown Rate: 0,0046
}</t>
  </si>
  <si>
    <t>{Precision: 0,9019
Recall: 0,9019
F1 Score: 0,9019
Jaccard Similarity: 0,8213
Missing Mandatory Fields: []
Data Type Errors: []
Conformity Rate: 1,0000
Unknown Rate: 0,0000
}</t>
  </si>
  <si>
    <t>{Precision: 0,9922
Recall: 0,9922
F1 Score: 0,9922
Jaccard Similarity: 0,9846
Missing Mandatory Fields: []
Data Type Errors: []
Conformity Rate: 1,0000
Unknown Rate: 0,0000
}</t>
  </si>
  <si>
    <t>{Precision: 0,9939
Recall: 0,9939
F1 Score: 0,9939
Jaccard Similarity: 0,9878
Missing Mandatory Fields: []
Data Type Errors: []
Conformity Rate: 1,0000
Unknown Rate: 0,0000
}</t>
  </si>
  <si>
    <t>{Precision: 0,9953
Recall: 0,9921
F1 Score: 0,9937
Jaccard Similarity: 0,9875
Missing Mandatory Fields: []
Data Type Errors: []
Conformity Rate: 1,0000
Unknown Rate: 0,0000
}</t>
  </si>
  <si>
    <t>{Precision: 0,9985
Recall: 0,9985
F1 Score: 0,9985
Jaccard Similarity: 0,9969
Missing Mandatory Fields: []
Data Type Errors: []
Conformity Rate: 1,0000
Unknown Rate: 0,0000
}</t>
  </si>
  <si>
    <t>{Precision: 0,8796
Recall: 0,8796
F1 Score: 0,8796
Jaccard Similarity: 0,7851
Missing Mandatory Fields: []
Data Type Errors: []
Conformity Rate: 1,0000
Unknown Rate: 0,0000
}</t>
  </si>
  <si>
    <t>{Precision: 0,9558
Recall: 0,9558
F1 Score: 0,9558
Jaccard Similarity: 0,9153
Missing Mandatory Fields: []
Data Type Errors: []
Conformity Rate: 1,0000
Unknown Rate: 0,0000
}</t>
  </si>
  <si>
    <t>{Precision: 0,9044
Recall: 0,8984
F1 Score: 0,9014
Jaccard Similarity: 0,8205
Missing Mandatory Fields: []
Data Type Errors: []
Conformity Rate: 0,9838
Unknown Rate: 0,0162
}</t>
  </si>
  <si>
    <t>4.46</t>
  </si>
  <si>
    <t>gpt-4o</t>
  </si>
  <si>
    <t>{Precision: 0,9889
Recall: 0,9989
F1 Score: 0,9939
Jaccard Similarity: 0,9878
Missing Mandatory Fields: []
Data Type Errors: []
Conformity Rate: 1,0000
Unknown Rate: 0,0000
}</t>
  </si>
  <si>
    <t xml:space="preserve"> {Precision: 0,9955
Recall: 0,9955
F1 Score: 0,9955
Jaccard Similarity: 0,9910
Missing Mandatory Fields: []
Data Type Errors: []
Conformity Rate: 1,0000
Unknown Rate: 0,0000
}</t>
  </si>
  <si>
    <t>{Precision: 0,9976
Recall: 0,9976
F1 Score: 0,9976
Jaccard Similarity: 0,9951
Missing Mandatory Fields: []
Data Type Errors: []
Conformity Rate: 1,0000
Unknown Rate: 0,0000
}</t>
  </si>
  <si>
    <t>{Precision: 1,0000
Recall: 0,9980
F1 Score: 0,9990
Jaccard Similarity: 0,9980
Missing Mandatory Fields: []
Data Type Errors: []
Conformity Rate: 1,0000
Unknown Rate: 0,0000
}</t>
  </si>
  <si>
    <t>{Precision: 0,9992
Recall: 0,9984
F1 Score: 0,9988
Jaccard Similarity: 0,9976
Missing Mandatory Fields: []
Data Type Errors: []
Conformity Rate: 1,0000
Unknown Rate: 0,0000
}</t>
  </si>
  <si>
    <t>{Precision: 0,9933
Recall: 0,9933
F1 Score: 0,9933
Jaccard Similarity: 0,9866
Missing Mandatory Fields: []
Data Type Errors: []
Conformity Rate: 1,0000
Unknown Rate: 0,0000
}</t>
  </si>
  <si>
    <t>{Precision: 0,9853
Recall: 0,9853
F1 Score: 0,9853
Jaccard Similarity: 0,9709
Missing Mandatory Fields: []
Data Type Errors: []
Conformity Rate: 1,0000
Unknown Rate: 0,0000
}</t>
  </si>
  <si>
    <t>{Precision: 0,9516
Recall: 0,9516
F1 Score: 0,9516
Jaccard Similarity: 0,9077
Missing Mandatory Fields: []
Data Type Errors: []
Conformity Rate: 1,0000
Unknown Rate: 0,0000
}</t>
  </si>
  <si>
    <t>2.17</t>
  </si>
  <si>
    <t>gemini-2.5-flash</t>
  </si>
  <si>
    <t>{Precision: 0,9105
Recall: 0,9024
F1 Score: 0,9064
Jaccard Similarity: 0,8289
Missing Mandatory Fields: []
Data Type Errors: []
Conformity Rate: 1,0000
Unknown Rate: 0,0000
}</t>
  </si>
  <si>
    <t>{Precision: 0,9914
Recall: 0,9251
F1 Score: 0,9571
Jaccard Similarity: 0,9177
Missing Mandatory Fields: []
Data Type Errors: []
Conformity Rate: 0,9978
Unknown Rate: 0,0022
}</t>
  </si>
  <si>
    <t>{Precision: 0,7574
Recall: 0,6371
F1 Score: 0,6900
Jaccard Similarity: 0,4745
Missing Mandatory Fields: [Row 86: 'artist',
Row 88: 'artist',
Row 89: 'artist', Row 99: 'artist']
Data Type Errors: []
Conformity Rate: 1,0000
Unknown Rate: 0,0000
}</t>
  </si>
  <si>
    <t>{Precision: 0,9656
Recall: 0,9367
F1 Score: 0,9509
Jaccard Similarity: 0,9065
Missing Mandatory Fields: []
Data Type Errors: []
Conformity Rate: 1,0000
Unknown Rate: 0,0000
}</t>
  </si>
  <si>
    <t>{Precision: 0,9990
Recall: 0,9929
F1 Score: 0,9959
Jaccard Similarity: 0,9919
Missing Mandatory Fields: []
Data Type Errors: []
Conformity Rate: 1,0000
Unknown Rate: 0,0000
}</t>
  </si>
  <si>
    <t>{Precision: 0,9764
Recall: 0,3916
F1 Score: 0,5591
Jaccard Similarity: 0,3880
Missing Mandatory Fields: []
Data Type Errors: []
Conformity Rate: 0,9784
Unknown Rate: 0,0216
}</t>
  </si>
  <si>
    <t>2.33</t>
  </si>
  <si>
    <t>mistral-small-3.1-24b</t>
  </si>
  <si>
    <t>{Precision: 0,6090
Recall: 0,4860
F1 Score: 0,5406
Jaccard Similarity: 0,3704
Missing Mandatory Fields: []
Data Type Errors: []
Conformity Rate: 1,0000
Unknown Rate: 0,0000
}</t>
  </si>
  <si>
    <t>{Precision: 0,9440
Recall: 0,8396
F1 Score: 0,8888
Jaccard Similarity: 0,7998
Missing Mandatory Fields: []
Data Type Errors: []
Conformity Rate: 0,9887
Unknown Rate: 0,0113
}</t>
  </si>
  <si>
    <t>{Precision: 0,9680
Recall: 0,8824
F1 Score: 0,9232
Jaccard Similarity: 0,8574
Missing Mandatory Fields: [row:104 'artist']
Data Type Errors: []
Conformity Rate: 1,0000
Unknown Rate: 0,0000
}</t>
  </si>
  <si>
    <t>{Precision: 0,6375
Recall: 0,4960
F1 Score: 0,5106
Jaccard Similarity: 0,3955
Missing Mandatory Fields: []
Data Type Errors: []
Conformity Rate: 1,0000
Unknown Rate: 0,0000
}</t>
  </si>
  <si>
    <t>{Precision: 0,9988
Recall: 0,8420
F1 Score: 0,9137
Jaccard Similarity: 0,8411
Missing Mandatory Fields: []
Data Type Errors: []
Conformity Rate: 1,0000
Unknown Rate: 0,0000
}</t>
  </si>
  <si>
    <t>{Precision: 0,9120
Recall: 0,5469
F1 Score: 0,6837
Jaccard Similarity: 0,5195
Missing Mandatory Fields: []
Data Type Errors: []
Conformity Rate: 0,9724
Unknown Rate: 0,0276
}</t>
  </si>
  <si>
    <t>{Precision: 0,7088
Recall: 0,5420
F1 Score: 0,5237
Jaccard Similarity: 0,4711
Missing Mandatory Fields: []
Data Type Errors: []
Conformity Rate: 0,9504
Unknown Rate: 0,0496
}</t>
  </si>
  <si>
    <t>{Precision: 0,9483
Recall: 0,8210
F1 Score: 0,8132
Jaccard Similarity: 0,7801
Missing Mandatory Fields: []
Data Type Errors: []
Conformity Rate: 1,0000
Unknown Rate: 0,0000
}</t>
  </si>
  <si>
    <t>{Precision: 0,8988
Recall: 0,6620
F1 Score: 0,5137
Jaccard Similarity: 0,5468
Missing Mandatory Fields: []
Data Type Errors: []
Conformity Rate: 1,0000
Unknown Rate: 0,0000
}</t>
  </si>
  <si>
    <t>{Precision: 0,9788
Recall: 0,8228
F1 Score: 0,8632
Jaccard Similarity: 0,8878
Missing Mandatory Fields: []
Data Type Errors: []
Conformity Rate: 0,9823
Unknown Rate: 0,0177
}</t>
  </si>
  <si>
    <t>2.41</t>
  </si>
  <si>
    <t>SoccerDB</t>
  </si>
  <si>
    <t>PDFs</t>
  </si>
  <si>
    <t>{Precision: 0,9075
Recall: 0,8996
F1 Score: 0,9035
Jaccard Similarity: 0,8240
Missing Mandatory Fields: []
Data Type Errors: []
Conformity Rate: 1,0000
Unknown Rate: 0,0000
}</t>
  </si>
  <si>
    <t>{Precision: 0,9071
Recall: 0,8952
F1 Score: 0,9011
Jaccard Similarity: 0,8200
Missing Mandatory Fields: []
Data Type Errors: []
Conformity Rate: 1,0000
Unknown Rate: 0,0000
}</t>
  </si>
  <si>
    <t>{Precision: 0,8667
Recall: 0,8776
F1 Score: 0,8721
Jaccard Similarity: 0,7732
Missing Mandatory Fields: []
Data Type Errors: []
Conformity Rate: 1,0000
Unknown Rate: 0,0000
}</t>
  </si>
  <si>
    <t>{Precision: 0,8947
Recall: 0,8947
F1 Score: 0,8947
Jaccard Similarity: 0,8095
Missing Mandatory Fields: []
Data Type Errors: []
Conformity Rate: 1,0000
Unknown Rate: 0,0000
}</t>
  </si>
  <si>
    <t>{Precision: 0,9031
Recall: 0,8874
F1 Score: 0,8952
Jaccard Similarity: 0,8103
Missing Mandatory Fields: []
Data Type Errors: []
Conformity Rate: 1,0000
Unknown Rate: 0,0000
}</t>
  </si>
  <si>
    <t>{Precision: 0,8798
Recall: 0,8991
F1 Score: 0,8894
Jaccard Similarity: 0,8008
Missing Mandatory Fields: []
Data Type Errors: []
Conformity Rate: 1,0000
Unknown Rate: 0,0000
}</t>
  </si>
  <si>
    <t>{Precision: 0,8952
Recall: 0,8874
F1 Score: 0,8913
Jaccard Similarity: 0,8039
Missing Mandatory Fields: []
Data Type Errors: []
Conformity Rate: 1,0000
Unknown Rate: 0,0000
}</t>
  </si>
  <si>
    <t>{Precision: 0,8991
Recall: 0,8952
F1 Score: 0,8972
Jaccard Similarity: 0,8135
Missing Mandatory Fields: []
Data Type Errors: []
Conformity Rate: 1,0000
Unknown Rate: 0,0000
}</t>
  </si>
  <si>
    <t>{Precision: 0,8831
Recall: 0,8908
F1 Score: 0,8870
Jaccard Similarity: 0,7969
Missing Mandatory Fields: []
Data Type Errors: []
Conformity Rate: 1,0000
Unknown Rate: 0,0000
}</t>
  </si>
  <si>
    <t>{Precision: 0,8140
Recall: 0,8861
F1 Score: 0,8485
Jaccard Similarity: 0,7368
Missing Mandatory Fields: []
Data Type Errors: []
Conformity Rate: 1,0000
Unknown Rate: 0,0000
}</t>
  </si>
  <si>
    <t>{Precision: 0,4976
Recall: 0,9079
F1 Score: 0,6429
Jaccard Similarity: 0,4737
Missing Mandatory Fields: []
Data Type Errors: []
Conformity Rate: 1,0000
Unknown Rate: 0,0000
}</t>
  </si>
  <si>
    <t>{Precision: 0,8918
Recall: 0,8918
F1 Score: 0,8918
Jaccard Similarity: 0,8047
Missing Mandatory Fields: []
Data Type Errors: []
Conformity Rate: 1,0000
Unknown Rate: 0,0000
}</t>
  </si>
  <si>
    <t>{Precision: 0,8996
Recall: 0,9035
F1 Score: 0,9015
Jaccard Similarity: 0,8207
Missing Mandatory Fields: []
Data Type Errors: []
Conformity Rate: 1,0000
Unknown Rate: 0,0000
}</t>
  </si>
  <si>
    <t>{Precision: 0,8841
Recall: 0,8918
F1 Score: 0,8879
Jaccard Similarity: 0,7984
Missing Mandatory Fields: []
Data Type Errors: []
Conformity Rate: 1,0000
Unknown Rate: 0,0000
}</t>
  </si>
  <si>
    <t>3.25</t>
  </si>
  <si>
    <t>{Precision: 0,9913
Recall: 0,9913
F1 Score: 0,9913
Jaccard Similarity: 0,9827
Missing Mandatory Fields: []
Data Type Errors: []
Conformity Rate: 1,0000
Unknown Rate: 0,0000
}</t>
  </si>
  <si>
    <t>{Precision: 0,9039
Recall: 0,9039
F1 Score: 0,9039
Jaccard Similarity: 0,8247
Missing Mandatory Fields: []
Data Type Errors: []
Conformity Rate: 1,0000
Unknown Rate: 0,0000
}</t>
  </si>
  <si>
    <t>{Precision: 1,0000
Recall: 0,9620
F1 Score: 0,9806
Jaccard Similarity: 0,9620
Missing Mandatory Fields: []
Data Type Errors: []
Conformity Rate: 1,0000
Unknown Rate: 0,0000
}</t>
  </si>
  <si>
    <t>{Precision: 0,9119
Recall: 0,9079
F1 Score: 0,9099
Jaccard Similarity: 0,8347
Missing Mandatory Fields: []
Data Type Errors: []
Conformity Rate: 1,0000
Unknown Rate: 0,0000
}</t>
  </si>
  <si>
    <t>{Precision: 0,8991
Recall: 0,8874
F1 Score: 0,8932
Jaccard Similarity: 0,8071
Missing Mandatory Fields: []
Data Type Errors: []
Conformity Rate: 1,0000
Unknown Rate: 0,0000
}</t>
  </si>
  <si>
    <t>{Precision: 1,0000
Recall: 0,9956
F1 Score: 0,9978
Jaccard Similarity: 0,9956
Missing Mandatory Fields: []
Data Type Errors: []
Conformity Rate: 1,0000
Unknown Rate: 0,0000
}</t>
  </si>
  <si>
    <t>{Precision: 0,9048
Recall: 0,9048
F1 Score: 0,9048
Jaccard Similarity: 0,8261
Missing Mandatory Fields: []
Data Type Errors: []
Conformity Rate: 1,0000
Unknown Rate: 0,0000
}</t>
  </si>
  <si>
    <t>1.25</t>
  </si>
  <si>
    <t>{Precision: 0,5768
Recall: 0,8690
F1 Score: 0,6934
Jaccard Similarity: 0,5307
Missing Mandatory Fields: []
Data Type Errors: []
Conformity Rate: 1,0000
Unknown Rate: 0,0000
}</t>
  </si>
  <si>
    <t>{Precision: 0,8884
Recall: 0,8690
F1 Score: 0,8786
Jaccard Similarity: 0,7835
Missing Mandatory Fields: []
Data Type Errors: []
Conformity Rate: 1,0000
Unknown Rate: 0,0000
}</t>
  </si>
  <si>
    <t>{Precision: 0,8701
Recall: 0,8481
F1 Score: 0,8590
Jaccard Similarity: 0,7528
Missing Mandatory Fields: []
Data Type Errors: []
Conformity Rate: 1,0000
Unknown Rate: 0,0000
}</t>
  </si>
  <si>
    <t>{Precision: 0,7976
Recall: 0,8079
F1 Score: 0,6600
Jaccard Similarity: 0,4963
Missing Mandatory Fields: []
Data Type Errors: []
Conformity Rate: 1,0000
Unknown Rate: 0,0000
}</t>
  </si>
  <si>
    <t>{Precision: 0,8387
Recall: 0,2251
F1 Score: 0,3549
Jaccard Similarity: 0,2158
Missing Mandatory Fields: []
Data Type Errors: []
Conformity Rate: 0,9194
Unknown Rate: 0,0806
}</t>
  </si>
  <si>
    <t>{Precision: 0,8929
Recall: 0,8772
F1 Score: 0,8850
Jaccard Similarity: 0,7937
Missing Mandatory Fields: []
Data Type Errors: []
Conformity Rate: 1,0000
Unknown Rate: 0,0000
}</t>
  </si>
  <si>
    <t>{Precision: 0,8996
Recall: 0,8918
F1 Score: 0,8957
Jaccard Similarity: 0,8110
Missing Mandatory Fields: []
Data Type Errors: []
Conformity Rate: 1,0000
Unknown Rate: 0,0000
}</t>
  </si>
  <si>
    <t>{Precision: 0,5568
Recall: 0,8996
F1 Score: 0,6878
Jaccard Similarity: 0,5242
Missing Mandatory Fields: []
Data Type Errors: []
Conformity Rate: 1,0000
Unknown Rate: 0,0000
}</t>
  </si>
  <si>
    <t>{Precision: 0,6030
Recall: 0,8690
F1 Score: 0,7120
Jaccard Similarity: 0,5528
Missing Mandatory Fields: []
Data Type Errors: []
Conformity Rate: 1,0000
Unknown Rate: 0,0000
}</t>
  </si>
  <si>
    <t>{Precision: 0,6030
Recall: 0,8397
F1 Score: 0,7019
Jaccard Similarity: 0,5408
Missing Mandatory Fields: []
Data Type Errors: []
Conformity Rate: 1,0000
Unknown Rate: 0,0000
}</t>
  </si>
  <si>
    <t>{Precision: 0,5682
Recall: 0,8772
F1 Score: 0,6897
Jaccard Similarity: 0,5263
Missing Mandatory Fields: []
Data Type Errors: []
Conformity Rate: 1,0000
Unknown Rate: 0,0000
}</t>
  </si>
  <si>
    <t>{Precision: 0,2468
Recall: 0,0823
F1 Score: 0,1234
Jaccard Similarity: 0,0657
Missing Mandatory Fields: []
Data Type Errors: []
Conformity Rate: 1,0000
Unknown Rate: 0,0000
}</t>
  </si>
  <si>
    <t>{Precision: 0,4523
Recall: 0,8728
F1 Score: 0,5958
Jaccard Similarity: 0,4243
Missing Mandatory Fields: []
Data Type Errors: []
Conformity Rate: 1,0000
Unknown Rate: 0,0000
}</t>
  </si>
  <si>
    <t>{Precision: 0,4671
Recall: 0,8615
F1 Score: 0,6058
Jaccard Similarity: 0,4345
Missing Mandatory Fields: []
Data Type Errors: []
Conformity Rate: 1,0000
Unknown Rate: 0,0000
}</t>
  </si>
  <si>
    <t>1.30</t>
  </si>
  <si>
    <t>QuestionsDB</t>
  </si>
  <si>
    <t>DOCX</t>
  </si>
  <si>
    <t>XLSX</t>
  </si>
  <si>
    <t>0.42</t>
  </si>
  <si>
    <t>0.56</t>
  </si>
  <si>
    <t>{Precision: 1,0000
Recall: 1,0000
F1 Score: 1,0000
Jaccard Similarity: 1,0000
Missing Mandatory Fields: []
Data Type Errors: []
Conformity Rate: 0,9500
Unknown Rate: 0,0500
}</t>
  </si>
  <si>
    <t>0.26</t>
  </si>
  <si>
    <t>{Precision: 0,7600
Recall: 0,9500
F1 Score: 0,8444
Jaccard Similarity: 0,7308
Missing Mandatory Fields: []
Data Type Errors: []
Conformity Rate: 0,8000
Unknown Rate: 0,2000
}</t>
  </si>
  <si>
    <t>{Precision: 0,8000
Recall: 1,0000
F1 Score: 0,8889
Jaccard Similarity: 0,8000
Missing Mandatory Fields: []
Data Type Errors: []
Conformity Rate: 0,8000
Unknown Rate: 0,2000
}</t>
  </si>
  <si>
    <t>{Precision: 0,7867
Recall: 0,9200
F1 Score: 0,8000
Jaccard Similarity: 0,7767
Missing Mandatory Fields: []
Data Type Errors: []
Conformity Rate: 0,9500
Unknown Rate: 0,0500
}</t>
  </si>
  <si>
    <t>{Precision: 0,8000
Recall: 1,0000
F1 Score: 0,8889
Jaccard Similarity: 0,8000
Missing Mandatory Fields: []
Data Type Errors: []
Conformity Rate: 0,9200
Unknown Rate: 0,0800
}</t>
  </si>
  <si>
    <t>0.21</t>
  </si>
  <si>
    <t>Resultados Globais</t>
  </si>
  <si>
    <t>Médias Globais entre todos os datasets</t>
  </si>
  <si>
    <t>Precisão</t>
  </si>
  <si>
    <t>Recall</t>
  </si>
  <si>
    <t>F1 Score</t>
  </si>
  <si>
    <t>Jaccard</t>
  </si>
  <si>
    <t>Missing Mandatory Fields</t>
  </si>
  <si>
    <t>Data Type Errors</t>
  </si>
  <si>
    <t>Conformity Rate</t>
  </si>
  <si>
    <t>Unknown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</si>
</sst>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4" fontId="1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4" fontId="4" numFmtId="49" xfId="0" applyAlignment="1" applyBorder="1" applyFont="1" applyNumberForma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readingOrder="0"/>
    </xf>
    <xf borderId="2" fillId="8" fontId="1" numFmtId="0" xfId="0" applyAlignment="1" applyBorder="1" applyFill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 vertical="center"/>
    </xf>
    <xf borderId="1" fillId="4" fontId="4" numFmtId="164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9" fontId="1" numFmtId="0" xfId="0" applyAlignment="1" applyBorder="1" applyFill="1" applyFont="1">
      <alignment readingOrder="0"/>
    </xf>
    <xf borderId="2" fillId="10" fontId="1" numFmtId="0" xfId="0" applyAlignment="1" applyBorder="1" applyFill="1" applyFont="1">
      <alignment horizontal="center" readingOrder="0"/>
    </xf>
    <xf borderId="3" fillId="6" fontId="1" numFmtId="0" xfId="0" applyAlignment="1" applyBorder="1" applyFont="1">
      <alignment horizontal="center" readingOrder="0"/>
    </xf>
    <xf borderId="1" fillId="4" fontId="4" numFmtId="165" xfId="0" applyAlignment="1" applyBorder="1" applyFont="1" applyNumberFormat="1">
      <alignment horizontal="center" readingOrder="0" vertical="center"/>
    </xf>
    <xf borderId="1" fillId="11" fontId="1" numFmtId="0" xfId="0" applyAlignment="1" applyBorder="1" applyFill="1" applyFont="1">
      <alignment readingOrder="0"/>
    </xf>
    <xf borderId="2" fillId="12" fontId="5" numFmtId="0" xfId="0" applyAlignment="1" applyBorder="1" applyFill="1" applyFont="1">
      <alignment horizontal="center" readingOrder="0" vertical="center"/>
    </xf>
    <xf borderId="0" fillId="13" fontId="5" numFmtId="0" xfId="0" applyAlignment="1" applyFill="1" applyFont="1">
      <alignment horizontal="center" readingOrder="0" vertical="center"/>
    </xf>
    <xf borderId="0" fillId="13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SpotifyDB comparação dos modelos</a:t>
            </a:r>
          </a:p>
        </c:rich>
      </c:tx>
      <c:layout>
        <c:manualLayout>
          <c:xMode val="edge"/>
          <c:yMode val="edge"/>
          <c:x val="0.03096774193548387"/>
          <c:y val="0.0479166666666666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AVG - Precision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'Página1'!$M$3:$M$7</c:f>
              <c:numCache/>
            </c:numRef>
          </c:val>
        </c:ser>
        <c:ser>
          <c:idx val="1"/>
          <c:order val="1"/>
          <c:tx>
            <c:v>AVG - 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'Página1'!$N$3:$N$7</c:f>
              <c:numCache/>
            </c:numRef>
          </c:val>
        </c:ser>
        <c:ser>
          <c:idx val="2"/>
          <c:order val="2"/>
          <c:tx>
            <c:strRef>
              <c:f>'Página1'!$O$1:$O$2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'Página1'!$O$3:$O$7</c:f>
              <c:numCache/>
            </c:numRef>
          </c:val>
        </c:ser>
        <c:ser>
          <c:idx val="3"/>
          <c:order val="3"/>
          <c:tx>
            <c:v>AVG - Jaccard Similarity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'Página1'!$P$3:$P$7</c:f>
              <c:numCache/>
            </c:numRef>
          </c:val>
        </c:ser>
        <c:axId val="1638055476"/>
        <c:axId val="203999658"/>
      </c:barChart>
      <c:catAx>
        <c:axId val="16380554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999658"/>
      </c:catAx>
      <c:valAx>
        <c:axId val="20399965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0554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VS Qualidade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'Página1'!$O$2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'Página1'!$L$3:$L$7</c:f>
            </c:strRef>
          </c:cat>
          <c:val>
            <c:numRef>
              <c:f>'Página1'!$O$3:$O$7</c:f>
              <c:numCache/>
            </c:numRef>
          </c:val>
        </c:ser>
        <c:ser>
          <c:idx val="1"/>
          <c:order val="1"/>
          <c:tx>
            <c:strRef>
              <c:f>'Página1'!$A$2</c:f>
            </c:strRef>
          </c:tx>
          <c:cat>
            <c:strRef>
              <c:f>'Página1'!$L$3:$L$7</c:f>
            </c:strRef>
          </c:cat>
          <c:val>
            <c:numRef>
              <c:f>'Página1'!$A$3:$A$7</c:f>
              <c:numCache/>
            </c:numRef>
          </c:val>
        </c:ser>
        <c:axId val="765015776"/>
        <c:axId val="1449526207"/>
      </c:barChart>
      <c:catAx>
        <c:axId val="76501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de execução em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9526207"/>
      </c:catAx>
      <c:valAx>
        <c:axId val="144952620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501577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Erros acumulados por modelo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'Página1'!$Q$1:$Q$2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'Página1'!$Q$3:$Q$7</c:f>
              <c:numCache/>
            </c:numRef>
          </c:val>
        </c:ser>
        <c:ser>
          <c:idx val="1"/>
          <c:order val="1"/>
          <c:tx>
            <c:strRef>
              <c:f>'Página1'!$R$1:$R$2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'Página1'!$A$3:$A$7</c:f>
            </c:strRef>
          </c:cat>
          <c:val>
            <c:numRef>
              <c:f>'Página1'!$R$3:$R$7</c:f>
              <c:numCache/>
            </c:numRef>
          </c:val>
        </c:ser>
        <c:overlap val="100"/>
        <c:axId val="296849659"/>
        <c:axId val="369484603"/>
      </c:barChart>
      <c:catAx>
        <c:axId val="2968496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9484603"/>
      </c:catAx>
      <c:valAx>
        <c:axId val="3694846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8496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das métricas em função do tempo gasto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'Página1'!$M$1:$M$2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'Página1'!$L$3:$L$7</c:f>
            </c:strRef>
          </c:cat>
          <c:val>
            <c:numRef>
              <c:f>'Página1'!$M$3:$M$7</c:f>
              <c:numCache/>
            </c:numRef>
          </c:val>
        </c:ser>
        <c:overlap val="100"/>
        <c:axId val="1735139967"/>
        <c:axId val="2100514381"/>
      </c:barChart>
      <c:lineChart>
        <c:ser>
          <c:idx val="1"/>
          <c:order val="1"/>
          <c:tx>
            <c:strRef>
              <c:f>'Página1'!$N$1:$N$2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'Página1'!$L$3:$L$7</c:f>
            </c:strRef>
          </c:cat>
          <c:val>
            <c:numRef>
              <c:f>'Página1'!$N$3:$N$7</c:f>
              <c:numCache/>
            </c:numRef>
          </c:val>
          <c:smooth val="0"/>
        </c:ser>
        <c:ser>
          <c:idx val="2"/>
          <c:order val="2"/>
          <c:tx>
            <c:strRef>
              <c:f>'Página1'!$O$1:$O$2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'Página1'!$L$3:$L$7</c:f>
            </c:strRef>
          </c:cat>
          <c:val>
            <c:numRef>
              <c:f>'Página1'!$O$3:$O$7</c:f>
              <c:numCache/>
            </c:numRef>
          </c:val>
          <c:smooth val="0"/>
        </c:ser>
        <c:ser>
          <c:idx val="3"/>
          <c:order val="3"/>
          <c:tx>
            <c:strRef>
              <c:f>'Página1'!$P$1:$P$2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'Página1'!$L$3:$L$7</c:f>
            </c:strRef>
          </c:cat>
          <c:val>
            <c:numRef>
              <c:f>'Página1'!$P$3:$P$7</c:f>
              <c:numCache/>
            </c:numRef>
          </c:val>
          <c:smooth val="0"/>
        </c:ser>
        <c:ser>
          <c:idx val="4"/>
          <c:order val="4"/>
          <c:tx>
            <c:strRef>
              <c:f>'Página1'!$S$1:$S$2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'Página1'!$L$3:$L$7</c:f>
            </c:strRef>
          </c:cat>
          <c:val>
            <c:numRef>
              <c:f>'Página1'!$S$3:$S$7</c:f>
              <c:numCache/>
            </c:numRef>
          </c:val>
          <c:smooth val="0"/>
        </c:ser>
        <c:axId val="1735139967"/>
        <c:axId val="2100514381"/>
      </c:lineChart>
      <c:catAx>
        <c:axId val="1735139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-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514381"/>
      </c:catAx>
      <c:valAx>
        <c:axId val="210051438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139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SoccerDB comparação dos modelos</a:t>
            </a:r>
          </a:p>
        </c:rich>
      </c:tx>
      <c:layout>
        <c:manualLayout>
          <c:xMode val="edge"/>
          <c:yMode val="edge"/>
          <c:x val="0.03096774193548387"/>
          <c:y val="0.0479166666666666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AVG - Precision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'Página1'!$A$11:$A$15</c:f>
            </c:strRef>
          </c:cat>
          <c:val>
            <c:numRef>
              <c:f>'Página1'!$J$11:$J$15</c:f>
              <c:numCache/>
            </c:numRef>
          </c:val>
        </c:ser>
        <c:ser>
          <c:idx val="1"/>
          <c:order val="1"/>
          <c:tx>
            <c:v>AVG - 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'Página1'!$A$11:$A$15</c:f>
            </c:strRef>
          </c:cat>
          <c:val>
            <c:numRef>
              <c:f>'Página1'!$K$11:$K$15</c:f>
              <c:numCache/>
            </c:numRef>
          </c:val>
        </c:ser>
        <c:ser>
          <c:idx val="2"/>
          <c:order val="2"/>
          <c:tx>
            <c:v>AVG - F1 Score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'Página1'!$A$11:$A$15</c:f>
            </c:strRef>
          </c:cat>
          <c:val>
            <c:numRef>
              <c:f>'Página1'!$L$11:$L$15</c:f>
              <c:numCache/>
            </c:numRef>
          </c:val>
        </c:ser>
        <c:ser>
          <c:idx val="3"/>
          <c:order val="3"/>
          <c:tx>
            <c:v>AVG - Jaccard Similarity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'Página1'!$A$11:$A$15</c:f>
            </c:strRef>
          </c:cat>
          <c:val>
            <c:numRef>
              <c:f>'Página1'!$M$11:$M$15</c:f>
              <c:numCache/>
            </c:numRef>
          </c:val>
        </c:ser>
        <c:axId val="1092786446"/>
        <c:axId val="1086713220"/>
      </c:barChart>
      <c:catAx>
        <c:axId val="1092786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713220"/>
      </c:catAx>
      <c:valAx>
        <c:axId val="1086713220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2786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Erros acumulados por modelo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Total - MMF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'Página1'!$A$12:$A$15</c:f>
            </c:strRef>
          </c:cat>
          <c:val>
            <c:numRef>
              <c:f>'Página1'!$N$12:$N$15</c:f>
              <c:numCache/>
            </c:numRef>
          </c:val>
        </c:ser>
        <c:ser>
          <c:idx val="1"/>
          <c:order val="1"/>
          <c:tx>
            <c:v>Total - DTE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'Página1'!$A$12:$A$15</c:f>
            </c:strRef>
          </c:cat>
          <c:val>
            <c:numRef>
              <c:f>'Página1'!$O$12:$O$15</c:f>
              <c:numCache/>
            </c:numRef>
          </c:val>
        </c:ser>
        <c:overlap val="100"/>
        <c:axId val="502622098"/>
        <c:axId val="1379848762"/>
      </c:barChart>
      <c:catAx>
        <c:axId val="5026220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848762"/>
      </c:catAx>
      <c:valAx>
        <c:axId val="13798487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6220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das métricas em função do tempo gasto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AVG - P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'Página1'!$I$11:$I$15</c:f>
            </c:strRef>
          </c:cat>
          <c:val>
            <c:numRef>
              <c:f>'Página1'!$J$11:$J$15</c:f>
              <c:numCache/>
            </c:numRef>
          </c:val>
        </c:ser>
        <c:overlap val="100"/>
        <c:axId val="20421790"/>
        <c:axId val="902251675"/>
      </c:barChart>
      <c:lineChart>
        <c:ser>
          <c:idx val="1"/>
          <c:order val="1"/>
          <c:tx>
            <c:v>AVG - R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'Página1'!$I$11:$I$15</c:f>
            </c:strRef>
          </c:cat>
          <c:val>
            <c:numRef>
              <c:f>'Página1'!$K$11:$K$15</c:f>
              <c:numCache/>
            </c:numRef>
          </c:val>
          <c:smooth val="0"/>
        </c:ser>
        <c:ser>
          <c:idx val="2"/>
          <c:order val="2"/>
          <c:tx>
            <c:v>AVG - F1 Score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'Página1'!$I$11:$I$15</c:f>
            </c:strRef>
          </c:cat>
          <c:val>
            <c:numRef>
              <c:f>'Página1'!$L$11:$L$15</c:f>
              <c:numCache/>
            </c:numRef>
          </c:val>
          <c:smooth val="0"/>
        </c:ser>
        <c:ser>
          <c:idx val="3"/>
          <c:order val="3"/>
          <c:tx>
            <c:v>AVG - JS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'Página1'!$I$11:$I$15</c:f>
            </c:strRef>
          </c:cat>
          <c:val>
            <c:numRef>
              <c:f>'Página1'!$M$11:$M$15</c:f>
              <c:numCache/>
            </c:numRef>
          </c:val>
          <c:smooth val="0"/>
        </c:ser>
        <c:ser>
          <c:idx val="4"/>
          <c:order val="4"/>
          <c:tx>
            <c:v>AVG - CR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'Página1'!$I$11:$I$15</c:f>
            </c:strRef>
          </c:cat>
          <c:val>
            <c:numRef>
              <c:f>'Página1'!$P$11:$P$15</c:f>
              <c:numCache/>
            </c:numRef>
          </c:val>
          <c:smooth val="0"/>
        </c:ser>
        <c:axId val="20421790"/>
        <c:axId val="902251675"/>
      </c:lineChart>
      <c:catAx>
        <c:axId val="20421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-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251675"/>
      </c:catAx>
      <c:valAx>
        <c:axId val="902251675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1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VS Qualidade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'Página1'!$L$10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'Página1'!$I$11:$I$15</c:f>
            </c:strRef>
          </c:cat>
          <c:val>
            <c:numRef>
              <c:f>'Página1'!$L$11:$L$15</c:f>
              <c:numCache/>
            </c:numRef>
          </c:val>
        </c:ser>
        <c:ser>
          <c:idx val="1"/>
          <c:order val="1"/>
          <c:tx>
            <c:strRef>
              <c:f>'Página1'!$A$10</c:f>
            </c:strRef>
          </c:tx>
          <c:cat>
            <c:strRef>
              <c:f>'Página1'!$I$11:$I$15</c:f>
            </c:strRef>
          </c:cat>
          <c:val>
            <c:numRef>
              <c:f>'Página1'!$A$11:$A$15</c:f>
              <c:numCache/>
            </c:numRef>
          </c:val>
        </c:ser>
        <c:axId val="723929296"/>
        <c:axId val="1675280822"/>
      </c:barChart>
      <c:catAx>
        <c:axId val="72392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de execução em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280822"/>
      </c:catAx>
      <c:valAx>
        <c:axId val="167528082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92929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QuestionsDB comparação dos modelos</a:t>
            </a:r>
          </a:p>
        </c:rich>
      </c:tx>
      <c:layout>
        <c:manualLayout>
          <c:xMode val="edge"/>
          <c:yMode val="edge"/>
          <c:x val="0.03096774193548387"/>
          <c:y val="0.04791666666666667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AVG - Precision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'Página1'!$A$19:$A$23</c:f>
            </c:strRef>
          </c:cat>
          <c:val>
            <c:numRef>
              <c:f>'Página1'!$O$19:$O$23</c:f>
              <c:numCache/>
            </c:numRef>
          </c:val>
        </c:ser>
        <c:ser>
          <c:idx val="1"/>
          <c:order val="1"/>
          <c:tx>
            <c:v>AVG - 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'Página1'!$A$19:$A$23</c:f>
            </c:strRef>
          </c:cat>
          <c:val>
            <c:numRef>
              <c:f>'Página1'!$P$19:$P$23</c:f>
              <c:numCache/>
            </c:numRef>
          </c:val>
        </c:ser>
        <c:ser>
          <c:idx val="2"/>
          <c:order val="2"/>
          <c:tx>
            <c:v>AVG - F1 Score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'Página1'!$A$19:$A$23</c:f>
            </c:strRef>
          </c:cat>
          <c:val>
            <c:numRef>
              <c:f>'Página1'!$Q$19:$Q$23</c:f>
              <c:numCache/>
            </c:numRef>
          </c:val>
        </c:ser>
        <c:ser>
          <c:idx val="3"/>
          <c:order val="3"/>
          <c:tx>
            <c:v>AVG - Jaccard Similarity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'Página1'!$A$19:$A$23</c:f>
            </c:strRef>
          </c:cat>
          <c:val>
            <c:numRef>
              <c:f>'Página1'!$R$19:$R$23</c:f>
              <c:numCache/>
            </c:numRef>
          </c:val>
        </c:ser>
        <c:axId val="227192362"/>
        <c:axId val="1216128714"/>
      </c:barChart>
      <c:catAx>
        <c:axId val="227192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128714"/>
      </c:catAx>
      <c:valAx>
        <c:axId val="121612871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192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VS Qualidade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'Página1'!$Q$18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'Página1'!$N$19:$N$23</c:f>
            </c:strRef>
          </c:cat>
          <c:val>
            <c:numRef>
              <c:f>'Página1'!$Q$19:$Q$23</c:f>
              <c:numCache/>
            </c:numRef>
          </c:val>
        </c:ser>
        <c:ser>
          <c:idx val="1"/>
          <c:order val="1"/>
          <c:tx>
            <c:strRef>
              <c:f>'Página1'!$A$18</c:f>
            </c:strRef>
          </c:tx>
          <c:cat>
            <c:strRef>
              <c:f>'Página1'!$N$19:$N$23</c:f>
            </c:strRef>
          </c:cat>
          <c:val>
            <c:numRef>
              <c:f>'Página1'!$A$19:$A$23</c:f>
              <c:numCache/>
            </c:numRef>
          </c:val>
        </c:ser>
        <c:axId val="1565530647"/>
        <c:axId val="1966632137"/>
      </c:barChart>
      <c:catAx>
        <c:axId val="1565530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de execução em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632137"/>
      </c:catAx>
      <c:valAx>
        <c:axId val="1966632137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53064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Variação das métricas em função do tempo gasto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'Página1'!$P$18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cat>
            <c:strRef>
              <c:f>'Página1'!$N$19:$N$23</c:f>
            </c:strRef>
          </c:cat>
          <c:val>
            <c:numRef>
              <c:f>'Página1'!$P$19:$P$23</c:f>
              <c:numCache/>
            </c:numRef>
          </c:val>
        </c:ser>
        <c:overlap val="100"/>
        <c:axId val="2031062352"/>
        <c:axId val="2106578363"/>
      </c:barChart>
      <c:lineChart>
        <c:ser>
          <c:idx val="1"/>
          <c:order val="1"/>
          <c:tx>
            <c:strRef>
              <c:f>'Página1'!$Q$18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'Página1'!$N$19:$N$23</c:f>
            </c:strRef>
          </c:cat>
          <c:val>
            <c:numRef>
              <c:f>'Página1'!$Q$19:$Q$23</c:f>
              <c:numCache/>
            </c:numRef>
          </c:val>
          <c:smooth val="0"/>
        </c:ser>
        <c:ser>
          <c:idx val="2"/>
          <c:order val="2"/>
          <c:tx>
            <c:strRef>
              <c:f>'Página1'!$R$18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'Página1'!$N$19:$N$23</c:f>
            </c:strRef>
          </c:cat>
          <c:val>
            <c:numRef>
              <c:f>'Página1'!$R$19:$R$23</c:f>
              <c:numCache/>
            </c:numRef>
          </c:val>
          <c:smooth val="0"/>
        </c:ser>
        <c:ser>
          <c:idx val="3"/>
          <c:order val="3"/>
          <c:tx>
            <c:strRef>
              <c:f>'Página1'!$U$18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'Página1'!$N$19:$N$23</c:f>
            </c:strRef>
          </c:cat>
          <c:val>
            <c:numRef>
              <c:f>'Página1'!$U$19:$U$23</c:f>
              <c:numCache/>
            </c:numRef>
          </c:val>
          <c:smooth val="0"/>
        </c:ser>
        <c:ser>
          <c:idx val="4"/>
          <c:order val="4"/>
          <c:tx>
            <c:strRef>
              <c:f>'Página1'!$U$18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'Página1'!$N$19:$N$23</c:f>
            </c:strRef>
          </c:cat>
          <c:val>
            <c:numRef>
              <c:f>'Página1'!$U$19:$U$23</c:f>
              <c:numCache/>
            </c:numRef>
          </c:val>
          <c:smooth val="0"/>
        </c:ser>
        <c:axId val="2031062352"/>
        <c:axId val="2106578363"/>
      </c:lineChart>
      <c:catAx>
        <c:axId val="203106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total - minutos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578363"/>
      </c:catAx>
      <c:valAx>
        <c:axId val="210657836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062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Erros acumulados por modelo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Total MMF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'Página1'!$A$20:$A$23</c:f>
            </c:strRef>
          </c:cat>
          <c:val>
            <c:numRef>
              <c:f>'Página1'!$S$20:$S$23</c:f>
              <c:numCache/>
            </c:numRef>
          </c:val>
        </c:ser>
        <c:ser>
          <c:idx val="1"/>
          <c:order val="1"/>
          <c:tx>
            <c:v>Total DTE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'Página1'!$A$20:$A$23</c:f>
            </c:strRef>
          </c:cat>
          <c:val>
            <c:numRef>
              <c:f>'Página1'!$T$20:$T$23</c:f>
              <c:numCache/>
            </c:numRef>
          </c:val>
        </c:ser>
        <c:overlap val="100"/>
        <c:axId val="1970172207"/>
        <c:axId val="1567484824"/>
      </c:barChart>
      <c:catAx>
        <c:axId val="19701722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484824"/>
      </c:catAx>
      <c:valAx>
        <c:axId val="15674848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0172207"/>
        <c:crosses val="max"/>
      </c:valAx>
    </c:plotArea>
    <c:legend>
      <c:legendPos val="r"/>
      <c:layout>
        <c:manualLayout>
          <c:xMode val="edge"/>
          <c:yMode val="edge"/>
          <c:x val="0.3479612054377256"/>
          <c:y val="0.138888888888888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Comparação Global dos Modelos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'Página1'!$B$26:$B$27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'Página1'!$B$28:$B$32</c:f>
              <c:numCache/>
            </c:numRef>
          </c:val>
        </c:ser>
        <c:ser>
          <c:idx val="1"/>
          <c:order val="1"/>
          <c:tx>
            <c:strRef>
              <c:f>'Página1'!$C$26:$C$27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'Página1'!$C$28:$C$32</c:f>
              <c:numCache/>
            </c:numRef>
          </c:val>
        </c:ser>
        <c:ser>
          <c:idx val="2"/>
          <c:order val="2"/>
          <c:tx>
            <c:strRef>
              <c:f>'Página1'!$D$26:$D$27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'Página1'!$D$28:$D$32</c:f>
              <c:numCache/>
            </c:numRef>
          </c:val>
        </c:ser>
        <c:ser>
          <c:idx val="3"/>
          <c:order val="3"/>
          <c:tx>
            <c:strRef>
              <c:f>'Página1'!$E$26:$E$27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'Página1'!$E$28:$E$32</c:f>
              <c:numCache/>
            </c:numRef>
          </c:val>
        </c:ser>
        <c:ser>
          <c:idx val="4"/>
          <c:order val="4"/>
          <c:tx>
            <c:strRef>
              <c:f>'Página1'!$H$26:$H$27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'Página1'!$H$28:$H$32</c:f>
              <c:numCache/>
            </c:numRef>
          </c:val>
        </c:ser>
        <c:axId val="1086652014"/>
        <c:axId val="2125810124"/>
      </c:barChart>
      <c:catAx>
        <c:axId val="10866520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5810124"/>
      </c:catAx>
      <c:valAx>
        <c:axId val="2125810124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6520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Comparação Global de campos de Conformidade VS Desconhecido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'Página1'!$H$26:$H$27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'Página1'!$H$28:$H$32</c:f>
              <c:numCache/>
            </c:numRef>
          </c:val>
        </c:ser>
        <c:ser>
          <c:idx val="1"/>
          <c:order val="1"/>
          <c:tx>
            <c:strRef>
              <c:f>'Página1'!$I$26:$I$27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'Página1'!$I$28:$I$32</c:f>
              <c:numCache/>
            </c:numRef>
          </c:val>
        </c:ser>
        <c:overlap val="100"/>
        <c:axId val="1239450870"/>
        <c:axId val="97358208"/>
      </c:barChart>
      <c:catAx>
        <c:axId val="1239450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58208"/>
      </c:catAx>
      <c:valAx>
        <c:axId val="9735820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450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Comparação métrica dos modelos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Precisão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'Página1'!$B$28:$B$32</c:f>
              <c:numCache/>
            </c:numRef>
          </c:val>
        </c:ser>
        <c:ser>
          <c:idx val="1"/>
          <c:order val="1"/>
          <c:tx>
            <c:v>Recall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'Página1'!$C$28:$C$32</c:f>
              <c:numCache/>
            </c:numRef>
          </c:val>
        </c:ser>
        <c:ser>
          <c:idx val="2"/>
          <c:order val="2"/>
          <c:tx>
            <c:v>F1 Score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'Página1'!$A$28:$A$32</c:f>
            </c:strRef>
          </c:cat>
          <c:val>
            <c:numRef>
              <c:f>'Página1'!$D$28:$D$32</c:f>
              <c:numCache/>
            </c:numRef>
          </c:val>
        </c:ser>
        <c:axId val="939422432"/>
        <c:axId val="508449676"/>
      </c:barChart>
      <c:catAx>
        <c:axId val="93942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Modelos de LLM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449676"/>
      </c:catAx>
      <c:valAx>
        <c:axId val="508449676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94224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Visão Geral do Score dos Modelos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'Página1'!$B$26:$B$27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'Página1'!$A$28:$A$32</c:f>
            </c:strRef>
          </c:cat>
          <c:val>
            <c:numRef>
              <c:f>'Página1'!$B$28:$B$32</c:f>
              <c:numCache/>
            </c:numRef>
          </c:val>
          <c:smooth val="1"/>
        </c:ser>
        <c:ser>
          <c:idx val="1"/>
          <c:order val="1"/>
          <c:tx>
            <c:strRef>
              <c:f>'Página1'!$C$26:$C$27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'Página1'!$A$28:$A$32</c:f>
            </c:strRef>
          </c:cat>
          <c:val>
            <c:numRef>
              <c:f>'Página1'!$C$28:$C$32</c:f>
              <c:numCache/>
            </c:numRef>
          </c:val>
          <c:smooth val="1"/>
        </c:ser>
        <c:ser>
          <c:idx val="2"/>
          <c:order val="2"/>
          <c:tx>
            <c:strRef>
              <c:f>'Página1'!$D$26:$D$27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'Página1'!$A$28:$A$32</c:f>
            </c:strRef>
          </c:cat>
          <c:val>
            <c:numRef>
              <c:f>'Página1'!$D$28:$D$32</c:f>
              <c:numCache/>
            </c:numRef>
          </c:val>
          <c:smooth val="1"/>
        </c:ser>
        <c:ser>
          <c:idx val="3"/>
          <c:order val="3"/>
          <c:tx>
            <c:strRef>
              <c:f>'Página1'!$E$26:$E$27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'Página1'!$A$28:$A$32</c:f>
            </c:strRef>
          </c:cat>
          <c:val>
            <c:numRef>
              <c:f>'Página1'!$E$28:$E$32</c:f>
              <c:numCache/>
            </c:numRef>
          </c:val>
          <c:smooth val="1"/>
        </c:ser>
        <c:axId val="1308331910"/>
        <c:axId val="1629698277"/>
      </c:radarChart>
      <c:catAx>
        <c:axId val="1308331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698277"/>
      </c:catAx>
      <c:valAx>
        <c:axId val="1629698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3319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247650</xdr:colOff>
      <xdr:row>0</xdr:row>
      <xdr:rowOff>38100</xdr:rowOff>
    </xdr:from>
    <xdr:ext cx="7381875" cy="45720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28</xdr:col>
      <xdr:colOff>161925</xdr:colOff>
      <xdr:row>0</xdr:row>
      <xdr:rowOff>38100</xdr:rowOff>
    </xdr:from>
    <xdr:ext cx="7439025" cy="45720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20</xdr:col>
      <xdr:colOff>247650</xdr:colOff>
      <xdr:row>4</xdr:row>
      <xdr:rowOff>1333500</xdr:rowOff>
    </xdr:from>
    <xdr:ext cx="5276850" cy="32575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26</xdr:col>
      <xdr:colOff>314325</xdr:colOff>
      <xdr:row>4</xdr:row>
      <xdr:rowOff>1390650</xdr:rowOff>
    </xdr:from>
    <xdr:ext cx="5695950" cy="32575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304800</xdr:colOff>
      <xdr:row>8</xdr:row>
      <xdr:rowOff>0</xdr:rowOff>
    </xdr:from>
    <xdr:ext cx="7381875" cy="45720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17</xdr:col>
      <xdr:colOff>304800</xdr:colOff>
      <xdr:row>13</xdr:row>
      <xdr:rowOff>9525</xdr:rowOff>
    </xdr:from>
    <xdr:ext cx="5276850" cy="28860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23</xdr:col>
      <xdr:colOff>28575</xdr:colOff>
      <xdr:row>13</xdr:row>
      <xdr:rowOff>38100</xdr:rowOff>
    </xdr:from>
    <xdr:ext cx="5229225" cy="28575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228600</xdr:colOff>
      <xdr:row>8</xdr:row>
      <xdr:rowOff>0</xdr:rowOff>
    </xdr:from>
    <xdr:ext cx="7439025" cy="45720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22</xdr:col>
      <xdr:colOff>228600</xdr:colOff>
      <xdr:row>16</xdr:row>
      <xdr:rowOff>28575</xdr:rowOff>
    </xdr:from>
    <xdr:ext cx="7381875" cy="45720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30</xdr:col>
      <xdr:colOff>9525</xdr:colOff>
      <xdr:row>16</xdr:row>
      <xdr:rowOff>28575</xdr:rowOff>
    </xdr:from>
    <xdr:ext cx="7439025" cy="45720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28</xdr:col>
      <xdr:colOff>85725</xdr:colOff>
      <xdr:row>21</xdr:row>
      <xdr:rowOff>38100</xdr:rowOff>
    </xdr:from>
    <xdr:ext cx="5695950" cy="325755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22</xdr:col>
      <xdr:colOff>228600</xdr:colOff>
      <xdr:row>21</xdr:row>
      <xdr:rowOff>38100</xdr:rowOff>
    </xdr:from>
    <xdr:ext cx="5276850" cy="325755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95250</xdr:colOff>
      <xdr:row>33</xdr:row>
      <xdr:rowOff>28575</xdr:rowOff>
    </xdr:from>
    <xdr:ext cx="7734300" cy="47910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0</xdr:col>
      <xdr:colOff>314325</xdr:colOff>
      <xdr:row>57</xdr:row>
      <xdr:rowOff>152400</xdr:rowOff>
    </xdr:from>
    <xdr:ext cx="7620000" cy="4705350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0</xdr:col>
      <xdr:colOff>285750</xdr:colOff>
      <xdr:row>33</xdr:row>
      <xdr:rowOff>28575</xdr:rowOff>
    </xdr:from>
    <xdr:ext cx="7648575" cy="4791075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4</xdr:col>
      <xdr:colOff>95250</xdr:colOff>
      <xdr:row>57</xdr:row>
      <xdr:rowOff>152400</xdr:rowOff>
    </xdr:from>
    <xdr:ext cx="7734300" cy="73342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6.25"/>
    <col customWidth="1" min="3" max="3" width="26.63"/>
    <col customWidth="1" min="4" max="4" width="33.75"/>
    <col customWidth="1" min="5" max="5" width="26.63"/>
    <col customWidth="1" min="6" max="6" width="26.25"/>
    <col customWidth="1" min="7" max="8" width="26.63"/>
    <col customWidth="1" min="9" max="11" width="26.25"/>
    <col customWidth="1" min="12" max="13" width="22.25"/>
    <col customWidth="1" min="14" max="14" width="20.25"/>
    <col customWidth="1" min="15" max="15" width="21.38"/>
    <col customWidth="1" min="16" max="16" width="14.0"/>
    <col customWidth="1" min="17" max="17" width="13.0"/>
    <col customWidth="1" min="21" max="22" width="12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4"/>
      <c r="L1" s="5" t="s">
        <v>2</v>
      </c>
      <c r="M1" s="6" t="s">
        <v>3</v>
      </c>
      <c r="N1" s="3"/>
      <c r="O1" s="3"/>
      <c r="P1" s="3"/>
      <c r="Q1" s="3"/>
      <c r="R1" s="3"/>
      <c r="S1" s="3"/>
      <c r="T1" s="4"/>
    </row>
    <row r="2">
      <c r="A2" s="7" t="s">
        <v>4</v>
      </c>
      <c r="B2" s="7">
        <v>1.0</v>
      </c>
      <c r="C2" s="7">
        <v>2.0</v>
      </c>
      <c r="D2" s="7">
        <v>3.0</v>
      </c>
      <c r="E2" s="7">
        <v>4.0</v>
      </c>
      <c r="F2" s="7">
        <v>5.0</v>
      </c>
      <c r="G2" s="7">
        <v>6.0</v>
      </c>
      <c r="H2" s="7">
        <v>7.0</v>
      </c>
      <c r="I2" s="7">
        <v>8.0</v>
      </c>
      <c r="J2" s="7">
        <v>9.0</v>
      </c>
      <c r="K2" s="7">
        <v>10.0</v>
      </c>
      <c r="L2" s="8" t="s">
        <v>5</v>
      </c>
      <c r="M2" s="9" t="s">
        <v>6</v>
      </c>
      <c r="N2" s="9" t="s">
        <v>7</v>
      </c>
      <c r="O2" s="9" t="s">
        <v>8</v>
      </c>
      <c r="P2" s="9" t="s">
        <v>9</v>
      </c>
      <c r="Q2" s="9" t="s">
        <v>10</v>
      </c>
      <c r="R2" s="9" t="s">
        <v>11</v>
      </c>
      <c r="S2" s="9" t="s">
        <v>12</v>
      </c>
      <c r="T2" s="9" t="s">
        <v>13</v>
      </c>
    </row>
    <row r="3">
      <c r="A3" s="10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11" t="s">
        <v>20</v>
      </c>
      <c r="H3" s="11" t="s">
        <v>21</v>
      </c>
      <c r="I3" s="11" t="s">
        <v>22</v>
      </c>
      <c r="J3" s="11" t="s">
        <v>23</v>
      </c>
      <c r="K3" s="11" t="s">
        <v>24</v>
      </c>
      <c r="L3" s="12" t="s">
        <v>25</v>
      </c>
      <c r="M3" s="13">
        <v>0.99066</v>
      </c>
      <c r="N3" s="13">
        <v>0.98746</v>
      </c>
      <c r="O3" s="13">
        <v>0.98848</v>
      </c>
      <c r="P3" s="13">
        <v>0.97914</v>
      </c>
      <c r="Q3" s="13">
        <v>0.0</v>
      </c>
      <c r="R3" s="13">
        <v>0.0</v>
      </c>
      <c r="S3" s="13">
        <v>1.0</v>
      </c>
      <c r="T3" s="13">
        <v>0.0</v>
      </c>
    </row>
    <row r="4">
      <c r="A4" s="14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  <c r="L4" s="12" t="s">
        <v>37</v>
      </c>
      <c r="M4" s="13">
        <v>0.95601</v>
      </c>
      <c r="N4" s="13">
        <v>0.9545</v>
      </c>
      <c r="O4" s="13">
        <v>0.95524</v>
      </c>
      <c r="P4" s="13">
        <v>0.91739</v>
      </c>
      <c r="Q4" s="13">
        <v>0.0</v>
      </c>
      <c r="R4" s="13">
        <v>0.0</v>
      </c>
      <c r="S4" s="13">
        <v>0.99792</v>
      </c>
      <c r="T4" s="13">
        <v>0.00208</v>
      </c>
    </row>
    <row r="5">
      <c r="A5" s="14" t="s">
        <v>38</v>
      </c>
      <c r="B5" s="11" t="s">
        <v>39</v>
      </c>
      <c r="C5" s="11" t="s">
        <v>40</v>
      </c>
      <c r="D5" s="11" t="s">
        <v>41</v>
      </c>
      <c r="E5" s="11" t="s">
        <v>30</v>
      </c>
      <c r="F5" s="11" t="s">
        <v>42</v>
      </c>
      <c r="G5" s="11" t="s">
        <v>43</v>
      </c>
      <c r="H5" s="11" t="s">
        <v>33</v>
      </c>
      <c r="I5" s="11" t="s">
        <v>44</v>
      </c>
      <c r="J5" s="11" t="s">
        <v>45</v>
      </c>
      <c r="K5" s="11" t="s">
        <v>46</v>
      </c>
      <c r="L5" s="12" t="s">
        <v>47</v>
      </c>
      <c r="M5" s="13">
        <v>0.99021</v>
      </c>
      <c r="N5" s="13">
        <v>0.99093</v>
      </c>
      <c r="O5" s="13">
        <v>0.99057</v>
      </c>
      <c r="P5" s="13">
        <v>0.98162</v>
      </c>
      <c r="Q5" s="13">
        <v>0.0</v>
      </c>
      <c r="R5" s="13">
        <v>0.0</v>
      </c>
      <c r="S5" s="13">
        <v>1.0</v>
      </c>
      <c r="T5" s="13">
        <v>0.0</v>
      </c>
    </row>
    <row r="6">
      <c r="A6" s="14" t="s">
        <v>48</v>
      </c>
      <c r="B6" s="11" t="s">
        <v>49</v>
      </c>
      <c r="C6" s="11" t="s">
        <v>50</v>
      </c>
      <c r="D6" s="11" t="s">
        <v>51</v>
      </c>
      <c r="E6" s="11" t="s">
        <v>52</v>
      </c>
      <c r="F6" s="11" t="s">
        <v>53</v>
      </c>
      <c r="G6" s="11" t="s">
        <v>54</v>
      </c>
      <c r="H6" s="11" t="s">
        <v>53</v>
      </c>
      <c r="I6" s="11" t="s">
        <v>53</v>
      </c>
      <c r="J6" s="11" t="s">
        <v>53</v>
      </c>
      <c r="K6" s="11" t="s">
        <v>53</v>
      </c>
      <c r="L6" s="12" t="s">
        <v>55</v>
      </c>
      <c r="M6" s="13">
        <v>0.95963</v>
      </c>
      <c r="N6" s="13">
        <v>0.87574</v>
      </c>
      <c r="O6" s="13">
        <v>0.9043</v>
      </c>
      <c r="P6" s="13">
        <v>0.84751</v>
      </c>
      <c r="Q6" s="13">
        <v>4.0</v>
      </c>
      <c r="R6" s="13">
        <v>0.0</v>
      </c>
      <c r="S6" s="13">
        <v>0.99762</v>
      </c>
      <c r="T6" s="13">
        <v>0.00238</v>
      </c>
    </row>
    <row r="7">
      <c r="A7" s="14" t="s">
        <v>56</v>
      </c>
      <c r="B7" s="11" t="s">
        <v>57</v>
      </c>
      <c r="C7" s="11" t="s">
        <v>58</v>
      </c>
      <c r="D7" s="11" t="s">
        <v>59</v>
      </c>
      <c r="E7" s="11" t="s">
        <v>60</v>
      </c>
      <c r="F7" s="11" t="s">
        <v>61</v>
      </c>
      <c r="G7" s="11" t="s">
        <v>62</v>
      </c>
      <c r="H7" s="11" t="s">
        <v>63</v>
      </c>
      <c r="I7" s="11" t="s">
        <v>64</v>
      </c>
      <c r="J7" s="11" t="s">
        <v>65</v>
      </c>
      <c r="K7" s="11" t="s">
        <v>66</v>
      </c>
      <c r="L7" s="12" t="s">
        <v>67</v>
      </c>
      <c r="M7" s="13">
        <v>0.8604</v>
      </c>
      <c r="N7" s="13">
        <v>0.69407</v>
      </c>
      <c r="O7" s="13">
        <v>0.71744</v>
      </c>
      <c r="P7" s="13">
        <v>0.64695</v>
      </c>
      <c r="Q7" s="13">
        <v>1.0</v>
      </c>
      <c r="R7" s="13">
        <v>0.0</v>
      </c>
      <c r="S7" s="13">
        <v>0.98938</v>
      </c>
      <c r="T7" s="13">
        <v>0.01062</v>
      </c>
    </row>
    <row r="9">
      <c r="A9" s="15" t="s">
        <v>68</v>
      </c>
      <c r="B9" s="16" t="s">
        <v>69</v>
      </c>
      <c r="C9" s="3"/>
      <c r="D9" s="3"/>
      <c r="E9" s="3"/>
      <c r="F9" s="3"/>
      <c r="G9" s="3"/>
      <c r="H9" s="4"/>
      <c r="I9" s="17" t="s">
        <v>2</v>
      </c>
      <c r="J9" s="6" t="s">
        <v>3</v>
      </c>
      <c r="K9" s="3"/>
      <c r="L9" s="3"/>
      <c r="M9" s="3"/>
      <c r="N9" s="3"/>
      <c r="O9" s="3"/>
      <c r="P9" s="3"/>
      <c r="Q9" s="4"/>
    </row>
    <row r="10">
      <c r="A10" s="7" t="s">
        <v>4</v>
      </c>
      <c r="B10" s="7">
        <v>1.0</v>
      </c>
      <c r="C10" s="7">
        <v>2.0</v>
      </c>
      <c r="D10" s="7">
        <v>3.0</v>
      </c>
      <c r="E10" s="7">
        <v>4.0</v>
      </c>
      <c r="F10" s="7">
        <v>5.0</v>
      </c>
      <c r="G10" s="7">
        <v>6.0</v>
      </c>
      <c r="H10" s="7">
        <v>7.0</v>
      </c>
      <c r="I10" s="18" t="s">
        <v>5</v>
      </c>
      <c r="J10" s="9" t="s">
        <v>6</v>
      </c>
      <c r="K10" s="9" t="s">
        <v>7</v>
      </c>
      <c r="L10" s="9" t="s">
        <v>8</v>
      </c>
      <c r="M10" s="9" t="s">
        <v>9</v>
      </c>
      <c r="N10" s="9" t="s">
        <v>10</v>
      </c>
      <c r="O10" s="9" t="s">
        <v>11</v>
      </c>
      <c r="P10" s="9" t="s">
        <v>12</v>
      </c>
      <c r="Q10" s="9" t="s">
        <v>13</v>
      </c>
    </row>
    <row r="11">
      <c r="A11" s="14" t="s">
        <v>14</v>
      </c>
      <c r="B11" s="11" t="s">
        <v>70</v>
      </c>
      <c r="C11" s="11" t="s">
        <v>71</v>
      </c>
      <c r="D11" s="11" t="s">
        <v>72</v>
      </c>
      <c r="E11" s="11" t="s">
        <v>73</v>
      </c>
      <c r="F11" s="11" t="s">
        <v>74</v>
      </c>
      <c r="G11" s="11" t="s">
        <v>75</v>
      </c>
      <c r="H11" s="11" t="s">
        <v>76</v>
      </c>
      <c r="I11" s="19">
        <v>45691.0</v>
      </c>
      <c r="J11" s="13">
        <v>0.893442857</v>
      </c>
      <c r="K11" s="13">
        <v>0.891571429</v>
      </c>
      <c r="L11" s="13">
        <v>0.892471429</v>
      </c>
      <c r="M11" s="13">
        <v>0.805957143</v>
      </c>
      <c r="N11" s="13">
        <v>0.0</v>
      </c>
      <c r="O11" s="13">
        <v>0.0</v>
      </c>
      <c r="P11" s="13">
        <v>1.0</v>
      </c>
      <c r="Q11" s="13">
        <v>0.0</v>
      </c>
    </row>
    <row r="12">
      <c r="A12" s="14" t="s">
        <v>26</v>
      </c>
      <c r="B12" s="11" t="s">
        <v>77</v>
      </c>
      <c r="C12" s="11" t="s">
        <v>78</v>
      </c>
      <c r="D12" s="11" t="s">
        <v>79</v>
      </c>
      <c r="E12" s="11" t="s">
        <v>80</v>
      </c>
      <c r="F12" s="11" t="s">
        <v>81</v>
      </c>
      <c r="G12" s="11" t="s">
        <v>82</v>
      </c>
      <c r="H12" s="11" t="s">
        <v>83</v>
      </c>
      <c r="I12" s="20" t="s">
        <v>84</v>
      </c>
      <c r="J12" s="13">
        <v>0.824185714</v>
      </c>
      <c r="K12" s="13">
        <v>0.8953</v>
      </c>
      <c r="L12" s="13">
        <v>0.850971429</v>
      </c>
      <c r="M12" s="13">
        <v>0.749242857</v>
      </c>
      <c r="N12" s="13">
        <v>0.0</v>
      </c>
      <c r="O12" s="13">
        <v>0.0</v>
      </c>
      <c r="P12" s="13">
        <v>1.0</v>
      </c>
      <c r="Q12" s="13">
        <v>0.0</v>
      </c>
    </row>
    <row r="13">
      <c r="A13" s="14" t="s">
        <v>38</v>
      </c>
      <c r="B13" s="11" t="s">
        <v>85</v>
      </c>
      <c r="C13" s="11" t="s">
        <v>86</v>
      </c>
      <c r="D13" s="11" t="s">
        <v>87</v>
      </c>
      <c r="E13" s="11" t="s">
        <v>88</v>
      </c>
      <c r="F13" s="11" t="s">
        <v>89</v>
      </c>
      <c r="G13" s="11" t="s">
        <v>90</v>
      </c>
      <c r="H13" s="11" t="s">
        <v>91</v>
      </c>
      <c r="I13" s="20" t="s">
        <v>92</v>
      </c>
      <c r="J13" s="13">
        <v>0.944428571</v>
      </c>
      <c r="K13" s="13">
        <v>0.936128571</v>
      </c>
      <c r="L13" s="13">
        <v>0.940214286</v>
      </c>
      <c r="M13" s="13">
        <v>0.890414286</v>
      </c>
      <c r="N13" s="13">
        <v>0.0</v>
      </c>
      <c r="O13" s="13">
        <v>0.0</v>
      </c>
      <c r="P13" s="13">
        <v>1.0</v>
      </c>
      <c r="Q13" s="13">
        <v>0.0</v>
      </c>
    </row>
    <row r="14">
      <c r="A14" s="14" t="s">
        <v>48</v>
      </c>
      <c r="B14" s="11" t="s">
        <v>93</v>
      </c>
      <c r="C14" s="11" t="s">
        <v>94</v>
      </c>
      <c r="D14" s="11" t="s">
        <v>95</v>
      </c>
      <c r="E14" s="11" t="s">
        <v>96</v>
      </c>
      <c r="F14" s="11" t="s">
        <v>97</v>
      </c>
      <c r="G14" s="11" t="s">
        <v>98</v>
      </c>
      <c r="H14" s="11" t="s">
        <v>99</v>
      </c>
      <c r="I14" s="19">
        <v>45932.0</v>
      </c>
      <c r="J14" s="13">
        <v>0.823442857</v>
      </c>
      <c r="K14" s="13">
        <v>0.769728571</v>
      </c>
      <c r="L14" s="13">
        <v>0.746657143</v>
      </c>
      <c r="M14" s="13">
        <v>0.626257143</v>
      </c>
      <c r="N14" s="13">
        <v>0.0</v>
      </c>
      <c r="O14" s="13">
        <v>0.0</v>
      </c>
      <c r="P14" s="13">
        <v>0.988485714</v>
      </c>
      <c r="Q14" s="13">
        <v>0.011514286</v>
      </c>
    </row>
    <row r="15">
      <c r="A15" s="14" t="s">
        <v>56</v>
      </c>
      <c r="B15" s="11" t="s">
        <v>100</v>
      </c>
      <c r="C15" s="11" t="s">
        <v>101</v>
      </c>
      <c r="D15" s="11" t="s">
        <v>102</v>
      </c>
      <c r="E15" s="11" t="s">
        <v>103</v>
      </c>
      <c r="F15" s="11" t="s">
        <v>104</v>
      </c>
      <c r="G15" s="11" t="s">
        <v>105</v>
      </c>
      <c r="H15" s="11" t="s">
        <v>106</v>
      </c>
      <c r="I15" s="20" t="s">
        <v>107</v>
      </c>
      <c r="J15" s="13">
        <v>0.4996</v>
      </c>
      <c r="K15" s="13">
        <v>0.757442857</v>
      </c>
      <c r="L15" s="13">
        <v>0.588057143</v>
      </c>
      <c r="M15" s="13">
        <v>0.438371429</v>
      </c>
      <c r="N15" s="13">
        <v>0.0</v>
      </c>
      <c r="O15" s="13">
        <v>0.0</v>
      </c>
      <c r="P15" s="13">
        <v>1.0</v>
      </c>
      <c r="Q15" s="13">
        <v>0.0</v>
      </c>
    </row>
    <row r="17">
      <c r="A17" s="21" t="s">
        <v>108</v>
      </c>
      <c r="B17" s="22" t="s">
        <v>109</v>
      </c>
      <c r="C17" s="3"/>
      <c r="D17" s="3"/>
      <c r="E17" s="3"/>
      <c r="F17" s="3"/>
      <c r="G17" s="4"/>
      <c r="H17" s="23" t="s">
        <v>110</v>
      </c>
      <c r="I17" s="3"/>
      <c r="J17" s="3"/>
      <c r="K17" s="3"/>
      <c r="L17" s="3"/>
      <c r="M17" s="4"/>
      <c r="N17" s="5" t="s">
        <v>2</v>
      </c>
      <c r="O17" s="6" t="s">
        <v>3</v>
      </c>
      <c r="P17" s="3"/>
      <c r="Q17" s="3"/>
      <c r="R17" s="3"/>
      <c r="S17" s="3"/>
      <c r="T17" s="3"/>
      <c r="U17" s="3"/>
      <c r="V17" s="4"/>
    </row>
    <row r="18">
      <c r="A18" s="7" t="s">
        <v>4</v>
      </c>
      <c r="B18" s="7">
        <v>1.0</v>
      </c>
      <c r="C18" s="7">
        <v>2.0</v>
      </c>
      <c r="D18" s="7">
        <v>3.0</v>
      </c>
      <c r="E18" s="7">
        <v>4.0</v>
      </c>
      <c r="F18" s="7">
        <v>5.0</v>
      </c>
      <c r="G18" s="7">
        <v>6.0</v>
      </c>
      <c r="H18" s="7">
        <v>7.0</v>
      </c>
      <c r="I18" s="7">
        <v>8.0</v>
      </c>
      <c r="J18" s="7">
        <v>9.0</v>
      </c>
      <c r="K18" s="7">
        <v>10.0</v>
      </c>
      <c r="L18" s="7">
        <v>11.0</v>
      </c>
      <c r="M18" s="7">
        <v>12.0</v>
      </c>
      <c r="N18" s="8" t="s">
        <v>5</v>
      </c>
      <c r="O18" s="9" t="s">
        <v>6</v>
      </c>
      <c r="P18" s="9" t="s">
        <v>7</v>
      </c>
      <c r="Q18" s="9" t="s">
        <v>8</v>
      </c>
      <c r="R18" s="9" t="s">
        <v>9</v>
      </c>
      <c r="S18" s="9" t="s">
        <v>10</v>
      </c>
      <c r="T18" s="9" t="s">
        <v>11</v>
      </c>
      <c r="U18" s="9" t="s">
        <v>12</v>
      </c>
      <c r="V18" s="9" t="s">
        <v>13</v>
      </c>
    </row>
    <row r="19">
      <c r="A19" s="14" t="s">
        <v>14</v>
      </c>
      <c r="B19" s="11" t="s">
        <v>20</v>
      </c>
      <c r="C19" s="11" t="s">
        <v>20</v>
      </c>
      <c r="D19" s="11" t="s">
        <v>20</v>
      </c>
      <c r="E19" s="11" t="s">
        <v>20</v>
      </c>
      <c r="F19" s="11" t="s">
        <v>20</v>
      </c>
      <c r="G19" s="11" t="s">
        <v>20</v>
      </c>
      <c r="H19" s="11" t="s">
        <v>20</v>
      </c>
      <c r="I19" s="11" t="s">
        <v>20</v>
      </c>
      <c r="J19" s="11" t="s">
        <v>20</v>
      </c>
      <c r="K19" s="11" t="s">
        <v>20</v>
      </c>
      <c r="L19" s="11" t="s">
        <v>20</v>
      </c>
      <c r="M19" s="11" t="s">
        <v>20</v>
      </c>
      <c r="N19" s="20" t="s">
        <v>111</v>
      </c>
      <c r="O19" s="13">
        <v>1.0</v>
      </c>
      <c r="P19" s="13">
        <v>1.0</v>
      </c>
      <c r="Q19" s="13">
        <v>1.0</v>
      </c>
      <c r="R19" s="13">
        <v>1.0</v>
      </c>
      <c r="S19" s="13">
        <v>0.0</v>
      </c>
      <c r="T19" s="13">
        <v>0.0</v>
      </c>
      <c r="U19" s="13">
        <v>1.0</v>
      </c>
      <c r="V19" s="13">
        <v>0.0</v>
      </c>
    </row>
    <row r="20">
      <c r="A20" s="14" t="s">
        <v>26</v>
      </c>
      <c r="B20" s="11" t="s">
        <v>20</v>
      </c>
      <c r="C20" s="11" t="s">
        <v>20</v>
      </c>
      <c r="D20" s="11" t="s">
        <v>20</v>
      </c>
      <c r="E20" s="11" t="s">
        <v>20</v>
      </c>
      <c r="F20" s="11" t="s">
        <v>20</v>
      </c>
      <c r="G20" s="11" t="s">
        <v>20</v>
      </c>
      <c r="H20" s="11" t="s">
        <v>20</v>
      </c>
      <c r="I20" s="11" t="s">
        <v>20</v>
      </c>
      <c r="J20" s="11" t="s">
        <v>20</v>
      </c>
      <c r="K20" s="11" t="s">
        <v>20</v>
      </c>
      <c r="L20" s="11" t="s">
        <v>20</v>
      </c>
      <c r="M20" s="11" t="s">
        <v>20</v>
      </c>
      <c r="N20" s="20" t="s">
        <v>112</v>
      </c>
      <c r="O20" s="13">
        <v>1.0</v>
      </c>
      <c r="P20" s="13">
        <v>1.0</v>
      </c>
      <c r="Q20" s="13">
        <v>1.0</v>
      </c>
      <c r="R20" s="13">
        <v>1.0</v>
      </c>
      <c r="S20" s="13">
        <v>0.0</v>
      </c>
      <c r="T20" s="13">
        <v>0.0</v>
      </c>
      <c r="U20" s="13">
        <v>1.0</v>
      </c>
      <c r="V20" s="13">
        <v>0.0</v>
      </c>
    </row>
    <row r="21">
      <c r="A21" s="14" t="s">
        <v>38</v>
      </c>
      <c r="B21" s="11" t="s">
        <v>20</v>
      </c>
      <c r="C21" s="11" t="s">
        <v>20</v>
      </c>
      <c r="D21" s="11" t="s">
        <v>20</v>
      </c>
      <c r="E21" s="11" t="s">
        <v>113</v>
      </c>
      <c r="F21" s="11" t="s">
        <v>20</v>
      </c>
      <c r="G21" s="11" t="s">
        <v>20</v>
      </c>
      <c r="H21" s="11" t="s">
        <v>20</v>
      </c>
      <c r="I21" s="11" t="s">
        <v>20</v>
      </c>
      <c r="J21" s="11" t="s">
        <v>20</v>
      </c>
      <c r="K21" s="11" t="s">
        <v>20</v>
      </c>
      <c r="L21" s="11" t="s">
        <v>20</v>
      </c>
      <c r="M21" s="11" t="s">
        <v>20</v>
      </c>
      <c r="N21" s="20" t="s">
        <v>114</v>
      </c>
      <c r="O21" s="13">
        <v>1.0</v>
      </c>
      <c r="P21" s="13">
        <v>1.0</v>
      </c>
      <c r="Q21" s="13">
        <v>1.0</v>
      </c>
      <c r="R21" s="13">
        <v>1.0</v>
      </c>
      <c r="S21" s="13">
        <v>0.0</v>
      </c>
      <c r="T21" s="13">
        <v>0.0</v>
      </c>
      <c r="U21" s="13">
        <v>0.995833333</v>
      </c>
      <c r="V21" s="13">
        <v>0.004166667</v>
      </c>
    </row>
    <row r="22">
      <c r="A22" s="14" t="s">
        <v>48</v>
      </c>
      <c r="B22" s="11" t="s">
        <v>20</v>
      </c>
      <c r="C22" s="11" t="s">
        <v>20</v>
      </c>
      <c r="D22" s="11" t="s">
        <v>20</v>
      </c>
      <c r="E22" s="11" t="s">
        <v>20</v>
      </c>
      <c r="F22" s="11" t="s">
        <v>20</v>
      </c>
      <c r="G22" s="11" t="s">
        <v>20</v>
      </c>
      <c r="H22" s="11" t="s">
        <v>115</v>
      </c>
      <c r="I22" s="11" t="s">
        <v>20</v>
      </c>
      <c r="J22" s="11" t="s">
        <v>116</v>
      </c>
      <c r="K22" s="11" t="s">
        <v>20</v>
      </c>
      <c r="L22" s="11" t="s">
        <v>20</v>
      </c>
      <c r="M22" s="11" t="s">
        <v>20</v>
      </c>
      <c r="N22" s="24">
        <v>45778.0</v>
      </c>
      <c r="O22" s="13">
        <v>0.963333333</v>
      </c>
      <c r="P22" s="13">
        <v>0.995833333</v>
      </c>
      <c r="Q22" s="13">
        <v>0.977775</v>
      </c>
      <c r="R22" s="13">
        <v>0.9609</v>
      </c>
      <c r="S22" s="13">
        <v>0.0</v>
      </c>
      <c r="T22" s="13">
        <v>0.0</v>
      </c>
      <c r="U22" s="13">
        <v>0.966666667</v>
      </c>
      <c r="V22" s="13">
        <v>0.033333333</v>
      </c>
    </row>
    <row r="23">
      <c r="A23" s="14" t="s">
        <v>56</v>
      </c>
      <c r="B23" s="11" t="s">
        <v>20</v>
      </c>
      <c r="C23" s="11" t="s">
        <v>20</v>
      </c>
      <c r="D23" s="11" t="s">
        <v>113</v>
      </c>
      <c r="E23" s="11" t="s">
        <v>117</v>
      </c>
      <c r="F23" s="11" t="s">
        <v>20</v>
      </c>
      <c r="G23" s="11" t="s">
        <v>20</v>
      </c>
      <c r="H23" s="11" t="s">
        <v>20</v>
      </c>
      <c r="I23" s="11" t="s">
        <v>118</v>
      </c>
      <c r="J23" s="11" t="s">
        <v>113</v>
      </c>
      <c r="K23" s="11" t="s">
        <v>20</v>
      </c>
      <c r="L23" s="11" t="s">
        <v>20</v>
      </c>
      <c r="M23" s="11" t="s">
        <v>20</v>
      </c>
      <c r="N23" s="20" t="s">
        <v>119</v>
      </c>
      <c r="O23" s="13">
        <v>0.965558333</v>
      </c>
      <c r="P23" s="13">
        <v>0.993333333</v>
      </c>
      <c r="Q23" s="13">
        <v>0.974075</v>
      </c>
      <c r="R23" s="13">
        <v>0.964725</v>
      </c>
      <c r="S23" s="13">
        <v>0.0</v>
      </c>
      <c r="T23" s="13">
        <v>0.0</v>
      </c>
      <c r="U23" s="13">
        <v>0.980833333</v>
      </c>
      <c r="V23" s="13">
        <v>0.019166667</v>
      </c>
    </row>
    <row r="26">
      <c r="A26" s="25" t="s">
        <v>120</v>
      </c>
      <c r="B26" s="26" t="s">
        <v>121</v>
      </c>
      <c r="C26" s="3"/>
      <c r="D26" s="3"/>
      <c r="E26" s="3"/>
      <c r="F26" s="3"/>
      <c r="G26" s="3"/>
      <c r="H26" s="3"/>
      <c r="I26" s="4"/>
      <c r="J26" s="27"/>
    </row>
    <row r="27">
      <c r="A27" s="7" t="s">
        <v>4</v>
      </c>
      <c r="B27" s="9" t="s">
        <v>122</v>
      </c>
      <c r="C27" s="9" t="s">
        <v>123</v>
      </c>
      <c r="D27" s="9" t="s">
        <v>124</v>
      </c>
      <c r="E27" s="9" t="s">
        <v>125</v>
      </c>
      <c r="F27" s="9" t="s">
        <v>126</v>
      </c>
      <c r="G27" s="9" t="s">
        <v>127</v>
      </c>
      <c r="H27" s="9" t="s">
        <v>128</v>
      </c>
      <c r="I27" s="9" t="s">
        <v>129</v>
      </c>
      <c r="J27" s="28"/>
    </row>
    <row r="28">
      <c r="A28" s="14" t="s">
        <v>14</v>
      </c>
      <c r="B28" s="11">
        <f t="shared" ref="B28:I28" si="1">MEDIAN(O19,J11,M3)</f>
        <v>0.99066</v>
      </c>
      <c r="C28" s="29">
        <f t="shared" si="1"/>
        <v>0.98746</v>
      </c>
      <c r="D28" s="29">
        <f t="shared" si="1"/>
        <v>0.98848</v>
      </c>
      <c r="E28" s="29">
        <f t="shared" si="1"/>
        <v>0.97914</v>
      </c>
      <c r="F28" s="29">
        <f t="shared" si="1"/>
        <v>0</v>
      </c>
      <c r="G28" s="29">
        <f t="shared" si="1"/>
        <v>0</v>
      </c>
      <c r="H28" s="29">
        <f t="shared" si="1"/>
        <v>1</v>
      </c>
      <c r="I28" s="29">
        <f t="shared" si="1"/>
        <v>0</v>
      </c>
      <c r="J28" s="30"/>
    </row>
    <row r="29">
      <c r="A29" s="14" t="s">
        <v>26</v>
      </c>
      <c r="B29" s="11">
        <f t="shared" ref="B29:I29" si="2">MEDIAN(O20,J12,M4)</f>
        <v>0.95601</v>
      </c>
      <c r="C29" s="29">
        <f t="shared" si="2"/>
        <v>0.9545</v>
      </c>
      <c r="D29" s="29">
        <f t="shared" si="2"/>
        <v>0.95524</v>
      </c>
      <c r="E29" s="29">
        <f t="shared" si="2"/>
        <v>0.91739</v>
      </c>
      <c r="F29" s="29">
        <f t="shared" si="2"/>
        <v>0</v>
      </c>
      <c r="G29" s="29">
        <f t="shared" si="2"/>
        <v>0</v>
      </c>
      <c r="H29" s="29">
        <f t="shared" si="2"/>
        <v>1</v>
      </c>
      <c r="I29" s="29">
        <f t="shared" si="2"/>
        <v>0</v>
      </c>
      <c r="J29" s="30"/>
    </row>
    <row r="30">
      <c r="A30" s="14" t="s">
        <v>38</v>
      </c>
      <c r="B30" s="11">
        <f t="shared" ref="B30:I30" si="3">MEDIAN(O21,J13,M5)</f>
        <v>0.99021</v>
      </c>
      <c r="C30" s="29">
        <f t="shared" si="3"/>
        <v>0.99093</v>
      </c>
      <c r="D30" s="29">
        <f t="shared" si="3"/>
        <v>0.99057</v>
      </c>
      <c r="E30" s="29">
        <f t="shared" si="3"/>
        <v>0.98162</v>
      </c>
      <c r="F30" s="29">
        <f t="shared" si="3"/>
        <v>0</v>
      </c>
      <c r="G30" s="29">
        <f t="shared" si="3"/>
        <v>0</v>
      </c>
      <c r="H30" s="29">
        <f t="shared" si="3"/>
        <v>1</v>
      </c>
      <c r="I30" s="29">
        <f t="shared" si="3"/>
        <v>0</v>
      </c>
      <c r="J30" s="30"/>
    </row>
    <row r="31">
      <c r="A31" s="14" t="s">
        <v>48</v>
      </c>
      <c r="B31" s="11">
        <f t="shared" ref="B31:I31" si="4">MEDIAN(O22,J14,M6)</f>
        <v>0.95963</v>
      </c>
      <c r="C31" s="29">
        <f t="shared" si="4"/>
        <v>0.87574</v>
      </c>
      <c r="D31" s="29">
        <f t="shared" si="4"/>
        <v>0.9043</v>
      </c>
      <c r="E31" s="29">
        <f t="shared" si="4"/>
        <v>0.84751</v>
      </c>
      <c r="F31" s="29">
        <f t="shared" si="4"/>
        <v>0</v>
      </c>
      <c r="G31" s="29">
        <f t="shared" si="4"/>
        <v>0</v>
      </c>
      <c r="H31" s="29">
        <f t="shared" si="4"/>
        <v>0.988485714</v>
      </c>
      <c r="I31" s="29">
        <f t="shared" si="4"/>
        <v>0.011514286</v>
      </c>
      <c r="J31" s="30"/>
    </row>
    <row r="32">
      <c r="A32" s="14" t="s">
        <v>56</v>
      </c>
      <c r="B32" s="11">
        <f t="shared" ref="B32:I32" si="5">MEDIAN(O23,J15,M7)</f>
        <v>0.8604</v>
      </c>
      <c r="C32" s="29">
        <f t="shared" si="5"/>
        <v>0.757442857</v>
      </c>
      <c r="D32" s="29">
        <f t="shared" si="5"/>
        <v>0.71744</v>
      </c>
      <c r="E32" s="29">
        <f t="shared" si="5"/>
        <v>0.64695</v>
      </c>
      <c r="F32" s="29">
        <f t="shared" si="5"/>
        <v>0</v>
      </c>
      <c r="G32" s="29">
        <f t="shared" si="5"/>
        <v>0</v>
      </c>
      <c r="H32" s="29">
        <f t="shared" si="5"/>
        <v>0.98938</v>
      </c>
      <c r="I32" s="29">
        <f t="shared" si="5"/>
        <v>0.01062</v>
      </c>
      <c r="J32" s="30"/>
    </row>
  </sheetData>
  <mergeCells count="8">
    <mergeCell ref="B1:K1"/>
    <mergeCell ref="B17:G17"/>
    <mergeCell ref="H17:M17"/>
    <mergeCell ref="B9:H9"/>
    <mergeCell ref="J9:Q9"/>
    <mergeCell ref="O17:V17"/>
    <mergeCell ref="M1:T1"/>
    <mergeCell ref="B26:I26"/>
  </mergeCells>
  <drawing r:id="rId1"/>
</worksheet>
</file>